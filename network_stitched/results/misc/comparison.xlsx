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tus\Google Drive\FAU\14. Semester\Master Thesis\"/>
    </mc:Choice>
  </mc:AlternateContent>
  <xr:revisionPtr revIDLastSave="0" documentId="13_ncr:1_{24CEE8BE-DB60-4335-865A-48098238764E}" xr6:coauthVersionLast="47" xr6:coauthVersionMax="47" xr10:uidLastSave="{00000000-0000-0000-0000-000000000000}"/>
  <bookViews>
    <workbookView xWindow="28680" yWindow="-120" windowWidth="29040" windowHeight="17640" activeTab="1" xr2:uid="{36FB2EF3-99EF-4875-8C83-22C5836883A0}"/>
  </bookViews>
  <sheets>
    <sheet name="single" sheetId="1" r:id="rId1"/>
    <sheet name="fu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9" i="2" l="1"/>
  <c r="F50" i="2"/>
  <c r="G50" i="2" s="1"/>
  <c r="F51" i="2"/>
  <c r="G51" i="2" s="1"/>
  <c r="F52" i="2"/>
  <c r="G52" i="2" s="1"/>
  <c r="F53" i="2"/>
  <c r="G53" i="2" s="1"/>
  <c r="F48" i="2"/>
  <c r="G48" i="2" s="1"/>
  <c r="E49" i="2"/>
  <c r="G49" i="2" s="1"/>
  <c r="E50" i="2"/>
  <c r="E51" i="2"/>
  <c r="E52" i="2"/>
  <c r="E53" i="2"/>
  <c r="E48" i="2"/>
  <c r="H11" i="2"/>
  <c r="H12" i="2"/>
  <c r="H13" i="2"/>
  <c r="H14" i="2"/>
  <c r="H15" i="2"/>
  <c r="H16" i="2"/>
  <c r="H19" i="2"/>
  <c r="H20" i="2"/>
  <c r="H21" i="2"/>
  <c r="H22" i="2"/>
  <c r="H23" i="2"/>
  <c r="H24" i="2"/>
  <c r="H27" i="2"/>
  <c r="H28" i="2"/>
  <c r="H29" i="2"/>
  <c r="H30" i="2"/>
  <c r="H31" i="2"/>
  <c r="H32" i="2"/>
  <c r="H35" i="2"/>
  <c r="H36" i="2"/>
  <c r="H37" i="2"/>
  <c r="H38" i="2"/>
  <c r="H39" i="2"/>
  <c r="H40" i="2"/>
  <c r="H10" i="2"/>
  <c r="G11" i="2"/>
  <c r="G12" i="2"/>
  <c r="G13" i="2"/>
  <c r="G14" i="2"/>
  <c r="G15" i="2"/>
  <c r="G16" i="2"/>
  <c r="G19" i="2"/>
  <c r="G20" i="2"/>
  <c r="G21" i="2"/>
  <c r="G22" i="2"/>
  <c r="G23" i="2"/>
  <c r="G24" i="2"/>
  <c r="G27" i="2"/>
  <c r="G28" i="2"/>
  <c r="G29" i="2"/>
  <c r="G30" i="2"/>
  <c r="G31" i="2"/>
  <c r="G32" i="2"/>
  <c r="G35" i="2"/>
  <c r="G36" i="2"/>
  <c r="G37" i="2"/>
  <c r="G38" i="2"/>
  <c r="G39" i="2"/>
  <c r="G40" i="2"/>
  <c r="G10" i="2"/>
</calcChain>
</file>

<file path=xl/sharedStrings.xml><?xml version="1.0" encoding="utf-8"?>
<sst xmlns="http://schemas.openxmlformats.org/spreadsheetml/2006/main" count="57" uniqueCount="28">
  <si>
    <t>RMSRE</t>
  </si>
  <si>
    <t>LUT</t>
  </si>
  <si>
    <t>DSP</t>
  </si>
  <si>
    <t>HLS</t>
  </si>
  <si>
    <t>MY</t>
  </si>
  <si>
    <t>Layernorm</t>
  </si>
  <si>
    <t>Softmax</t>
  </si>
  <si>
    <t>exp:exp_bipartite+rec:rec_bipartite,exp_ADDR_WIDTH_0=3;exp_ADDR_WIDTH_1=5;exp_ADDR_WIDTH_2=5;exp_WORD_WIDTH=17;rec_NUM_NEWTON_STEPS=0;rec_ADDR_WIDTH_0=3;rec_ADDR_WIDTH_1=5;rec_ADDR_WIDTH_2=5;rec_WORD_WIDTH=15,6.064137e-05,846,4</t>
  </si>
  <si>
    <t>1,2,4,4,13,577,11,4.59e-07</t>
  </si>
  <si>
    <t>rsqrt_bipartite</t>
  </si>
  <si>
    <t>FF</t>
  </si>
  <si>
    <t>full design</t>
  </si>
  <si>
    <t>softmax only</t>
  </si>
  <si>
    <t>WNS</t>
  </si>
  <si>
    <t>post route</t>
  </si>
  <si>
    <t>general information:</t>
  </si>
  <si>
    <t>6 ns</t>
  </si>
  <si>
    <t>RAM36</t>
  </si>
  <si>
    <t>RAM18</t>
  </si>
  <si>
    <t>URAM</t>
  </si>
  <si>
    <t>layernorm 0</t>
  </si>
  <si>
    <t>layernorm 1</t>
  </si>
  <si>
    <t>MY RTL</t>
  </si>
  <si>
    <t>diff</t>
  </si>
  <si>
    <t>Relative change</t>
  </si>
  <si>
    <t>Absolute change</t>
  </si>
  <si>
    <t>change full</t>
  </si>
  <si>
    <t>change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</si>
</sst>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auto="1"/>
      </left>
      <right/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11" fontId="0" fillId="0" borderId="0" xfId="0" applyNumberFormat="1"/>
    <xf numFmtId="11" fontId="0" fillId="0" borderId="2" xfId="0" applyNumberFormat="1" applyBorder="1"/>
    <xf numFmtId="11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11" fontId="0" fillId="0" borderId="0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0" xfId="0" applyNumberFormat="1"/>
    <xf numFmtId="0" fontId="0" fillId="0" borderId="11" xfId="0" applyNumberFormat="1" applyBorder="1"/>
    <xf numFmtId="0" fontId="0" fillId="0" borderId="0" xfId="0" applyBorder="1" applyAlignment="1"/>
    <xf numFmtId="0" fontId="0" fillId="0" borderId="0" xfId="0" applyAlignment="1"/>
    <xf numFmtId="0" fontId="0" fillId="0" borderId="13" xfId="0" applyBorder="1"/>
    <xf numFmtId="0" fontId="0" fillId="0" borderId="2" xfId="0" applyNumberFormat="1" applyBorder="1"/>
    <xf numFmtId="0" fontId="0" fillId="0" borderId="8" xfId="0" applyFill="1" applyBorder="1"/>
    <xf numFmtId="10" fontId="0" fillId="0" borderId="7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7CB6-D19E-4CB9-89E2-D579B89A5942}">
  <dimension ref="D9:J17"/>
  <sheetViews>
    <sheetView workbookViewId="0">
      <selection activeCell="D9" sqref="D9:H13"/>
    </sheetView>
  </sheetViews>
  <sheetFormatPr baseColWidth="10" defaultRowHeight="14.4" x14ac:dyDescent="0.3"/>
  <cols>
    <col min="5" max="8" width="17.6640625" customWidth="1"/>
  </cols>
  <sheetData>
    <row r="9" spans="4:10" x14ac:dyDescent="0.3">
      <c r="E9" s="10" t="s">
        <v>5</v>
      </c>
      <c r="F9" s="10"/>
      <c r="G9" s="11" t="s">
        <v>6</v>
      </c>
      <c r="H9" s="10"/>
    </row>
    <row r="10" spans="4:10" ht="15" thickBot="1" x14ac:dyDescent="0.35">
      <c r="E10" s="7" t="s">
        <v>3</v>
      </c>
      <c r="F10" s="8" t="s">
        <v>4</v>
      </c>
      <c r="G10" s="9" t="s">
        <v>3</v>
      </c>
      <c r="H10" s="8" t="s">
        <v>4</v>
      </c>
    </row>
    <row r="11" spans="4:10" ht="15" thickTop="1" x14ac:dyDescent="0.3">
      <c r="D11" s="6" t="s">
        <v>0</v>
      </c>
      <c r="E11" s="3">
        <v>6.1500000000000004E-7</v>
      </c>
      <c r="F11" s="5">
        <v>4.5900000000000002E-7</v>
      </c>
      <c r="G11" s="4">
        <v>7.1092000000000003E-5</v>
      </c>
      <c r="H11" s="5">
        <v>6.0641370000000003E-5</v>
      </c>
      <c r="J11" s="3"/>
    </row>
    <row r="12" spans="4:10" x14ac:dyDescent="0.3">
      <c r="D12" s="6" t="s">
        <v>1</v>
      </c>
      <c r="E12">
        <v>1695</v>
      </c>
      <c r="F12" s="1">
        <v>577</v>
      </c>
      <c r="G12" s="2">
        <v>2985</v>
      </c>
      <c r="H12" s="1">
        <v>846</v>
      </c>
    </row>
    <row r="13" spans="4:10" x14ac:dyDescent="0.3">
      <c r="D13" s="6" t="s">
        <v>2</v>
      </c>
      <c r="E13">
        <v>12</v>
      </c>
      <c r="F13" s="1">
        <v>11</v>
      </c>
      <c r="G13" s="2">
        <v>2</v>
      </c>
      <c r="H13" s="1">
        <v>4</v>
      </c>
    </row>
    <row r="16" spans="4:10" x14ac:dyDescent="0.3">
      <c r="F16" t="s">
        <v>9</v>
      </c>
      <c r="H16" t="s">
        <v>7</v>
      </c>
    </row>
    <row r="17" spans="6:6" x14ac:dyDescent="0.3">
      <c r="F17" t="s">
        <v>8</v>
      </c>
    </row>
  </sheetData>
  <mergeCells count="2">
    <mergeCell ref="E9:F9"/>
    <mergeCell ref="G9:H9"/>
  </mergeCells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92AE-DD00-4C9F-AF34-EBDEDC4FB2E6}">
  <dimension ref="B2:H53"/>
  <sheetViews>
    <sheetView tabSelected="1" workbookViewId="0">
      <selection activeCell="I17" sqref="I17"/>
    </sheetView>
  </sheetViews>
  <sheetFormatPr baseColWidth="10" defaultRowHeight="14.4" x14ac:dyDescent="0.3"/>
  <cols>
    <col min="2" max="2" width="13.77734375" bestFit="1" customWidth="1"/>
    <col min="4" max="4" width="12.5546875" customWidth="1"/>
    <col min="5" max="8" width="18.5546875" customWidth="1"/>
  </cols>
  <sheetData>
    <row r="2" spans="2:8" x14ac:dyDescent="0.3">
      <c r="C2" t="s">
        <v>15</v>
      </c>
    </row>
    <row r="3" spans="2:8" x14ac:dyDescent="0.3">
      <c r="C3" t="s">
        <v>14</v>
      </c>
    </row>
    <row r="4" spans="2:8" x14ac:dyDescent="0.3">
      <c r="C4" t="s">
        <v>16</v>
      </c>
    </row>
    <row r="8" spans="2:8" x14ac:dyDescent="0.3">
      <c r="E8" s="22"/>
      <c r="F8" s="22"/>
      <c r="G8" s="21"/>
      <c r="H8" s="21"/>
    </row>
    <row r="9" spans="2:8" ht="15" thickBot="1" x14ac:dyDescent="0.35">
      <c r="E9" s="16" t="s">
        <v>3</v>
      </c>
      <c r="F9" s="15" t="s">
        <v>22</v>
      </c>
      <c r="G9" s="23" t="s">
        <v>25</v>
      </c>
      <c r="H9" s="25" t="s">
        <v>24</v>
      </c>
    </row>
    <row r="10" spans="2:8" x14ac:dyDescent="0.3">
      <c r="B10" t="s">
        <v>11</v>
      </c>
      <c r="D10" s="17" t="s">
        <v>13</v>
      </c>
      <c r="E10" s="19">
        <v>0.22600000000000001</v>
      </c>
      <c r="F10" s="20">
        <v>0.24399999999999999</v>
      </c>
      <c r="G10" s="24">
        <f>F10-E10</f>
        <v>1.7999999999999988E-2</v>
      </c>
      <c r="H10" s="26">
        <f>G10/E10</f>
        <v>7.9646017699114988E-2</v>
      </c>
    </row>
    <row r="11" spans="2:8" x14ac:dyDescent="0.3">
      <c r="D11" s="17" t="s">
        <v>10</v>
      </c>
      <c r="E11">
        <v>335445</v>
      </c>
      <c r="F11" s="14">
        <v>308540</v>
      </c>
      <c r="G11" s="24">
        <f t="shared" ref="G11:G40" si="0">F11-E11</f>
        <v>-26905</v>
      </c>
      <c r="H11" s="26">
        <f t="shared" ref="H11:H41" si="1">G11/E11</f>
        <v>-8.0206889355930178E-2</v>
      </c>
    </row>
    <row r="12" spans="2:8" x14ac:dyDescent="0.3">
      <c r="D12" s="17" t="s">
        <v>1</v>
      </c>
      <c r="E12">
        <v>131600</v>
      </c>
      <c r="F12" s="14">
        <v>118825</v>
      </c>
      <c r="G12" s="24">
        <f t="shared" si="0"/>
        <v>-12775</v>
      </c>
      <c r="H12" s="26">
        <f t="shared" si="1"/>
        <v>-9.7074468085106377E-2</v>
      </c>
    </row>
    <row r="13" spans="2:8" x14ac:dyDescent="0.3">
      <c r="D13" s="17" t="s">
        <v>2</v>
      </c>
      <c r="E13">
        <v>1788</v>
      </c>
      <c r="F13" s="14">
        <v>1800</v>
      </c>
      <c r="G13" s="24">
        <f t="shared" si="0"/>
        <v>12</v>
      </c>
      <c r="H13" s="26">
        <f t="shared" si="1"/>
        <v>6.7114093959731542E-3</v>
      </c>
    </row>
    <row r="14" spans="2:8" x14ac:dyDescent="0.3">
      <c r="D14" s="17" t="s">
        <v>17</v>
      </c>
      <c r="E14">
        <v>434</v>
      </c>
      <c r="F14" s="14">
        <v>434</v>
      </c>
      <c r="G14" s="24">
        <f t="shared" si="0"/>
        <v>0</v>
      </c>
      <c r="H14" s="26">
        <f t="shared" si="1"/>
        <v>0</v>
      </c>
    </row>
    <row r="15" spans="2:8" x14ac:dyDescent="0.3">
      <c r="D15" s="17" t="s">
        <v>18</v>
      </c>
      <c r="E15">
        <v>110</v>
      </c>
      <c r="F15" s="14">
        <v>110</v>
      </c>
      <c r="G15" s="24">
        <f t="shared" si="0"/>
        <v>0</v>
      </c>
      <c r="H15" s="26">
        <f t="shared" si="1"/>
        <v>0</v>
      </c>
    </row>
    <row r="16" spans="2:8" x14ac:dyDescent="0.3">
      <c r="D16" s="17" t="s">
        <v>19</v>
      </c>
      <c r="E16">
        <v>229</v>
      </c>
      <c r="F16" s="14">
        <v>229</v>
      </c>
      <c r="G16" s="24">
        <f t="shared" si="0"/>
        <v>0</v>
      </c>
      <c r="H16" s="26">
        <f t="shared" si="1"/>
        <v>0</v>
      </c>
    </row>
    <row r="17" spans="2:8" x14ac:dyDescent="0.3">
      <c r="D17" s="17"/>
      <c r="F17" s="14"/>
      <c r="G17" s="24"/>
      <c r="H17" s="26"/>
    </row>
    <row r="18" spans="2:8" x14ac:dyDescent="0.3">
      <c r="D18" s="17"/>
      <c r="F18" s="14"/>
      <c r="G18" s="24"/>
      <c r="H18" s="26"/>
    </row>
    <row r="19" spans="2:8" x14ac:dyDescent="0.3">
      <c r="B19" t="s">
        <v>12</v>
      </c>
      <c r="D19" s="17" t="s">
        <v>10</v>
      </c>
      <c r="E19">
        <v>7413</v>
      </c>
      <c r="F19" s="14">
        <v>1520</v>
      </c>
      <c r="G19" s="24">
        <f t="shared" si="0"/>
        <v>-5893</v>
      </c>
      <c r="H19" s="26">
        <f t="shared" si="1"/>
        <v>-0.79495480911911509</v>
      </c>
    </row>
    <row r="20" spans="2:8" x14ac:dyDescent="0.3">
      <c r="D20" s="17" t="s">
        <v>1</v>
      </c>
      <c r="E20">
        <v>10100</v>
      </c>
      <c r="F20" s="14">
        <v>1849</v>
      </c>
      <c r="G20" s="24">
        <f t="shared" si="0"/>
        <v>-8251</v>
      </c>
      <c r="H20" s="26">
        <f t="shared" si="1"/>
        <v>-0.81693069306930688</v>
      </c>
    </row>
    <row r="21" spans="2:8" x14ac:dyDescent="0.3">
      <c r="D21" s="17" t="s">
        <v>2</v>
      </c>
      <c r="E21">
        <v>8</v>
      </c>
      <c r="F21" s="14">
        <v>16</v>
      </c>
      <c r="G21" s="24">
        <f t="shared" si="0"/>
        <v>8</v>
      </c>
      <c r="H21" s="26">
        <f t="shared" si="1"/>
        <v>1</v>
      </c>
    </row>
    <row r="22" spans="2:8" x14ac:dyDescent="0.3">
      <c r="D22" s="17" t="s">
        <v>17</v>
      </c>
      <c r="E22">
        <v>0</v>
      </c>
      <c r="F22" s="14">
        <v>0</v>
      </c>
      <c r="G22" s="24">
        <f t="shared" si="0"/>
        <v>0</v>
      </c>
      <c r="H22" s="26" t="e">
        <f t="shared" si="1"/>
        <v>#DIV/0!</v>
      </c>
    </row>
    <row r="23" spans="2:8" x14ac:dyDescent="0.3">
      <c r="D23" s="17" t="s">
        <v>18</v>
      </c>
      <c r="E23">
        <v>0</v>
      </c>
      <c r="F23" s="14">
        <v>0</v>
      </c>
      <c r="G23" s="24">
        <f t="shared" si="0"/>
        <v>0</v>
      </c>
      <c r="H23" s="26" t="e">
        <f t="shared" si="1"/>
        <v>#DIV/0!</v>
      </c>
    </row>
    <row r="24" spans="2:8" x14ac:dyDescent="0.3">
      <c r="D24" s="17" t="s">
        <v>19</v>
      </c>
      <c r="E24">
        <v>0</v>
      </c>
      <c r="F24" s="14">
        <v>0</v>
      </c>
      <c r="G24" s="24">
        <f t="shared" si="0"/>
        <v>0</v>
      </c>
      <c r="H24" s="26" t="e">
        <f t="shared" si="1"/>
        <v>#DIV/0!</v>
      </c>
    </row>
    <row r="25" spans="2:8" x14ac:dyDescent="0.3">
      <c r="D25" s="17"/>
      <c r="F25" s="14"/>
      <c r="G25" s="24"/>
      <c r="H25" s="26"/>
    </row>
    <row r="26" spans="2:8" x14ac:dyDescent="0.3">
      <c r="D26" s="17"/>
      <c r="F26" s="14"/>
      <c r="G26" s="24"/>
      <c r="H26" s="26"/>
    </row>
    <row r="27" spans="2:8" x14ac:dyDescent="0.3">
      <c r="B27" t="s">
        <v>20</v>
      </c>
      <c r="D27" s="17" t="s">
        <v>10</v>
      </c>
      <c r="E27">
        <v>11558</v>
      </c>
      <c r="F27" s="14">
        <v>908</v>
      </c>
      <c r="G27" s="24">
        <f t="shared" si="0"/>
        <v>-10650</v>
      </c>
      <c r="H27" s="26">
        <f t="shared" si="1"/>
        <v>-0.92143969544903959</v>
      </c>
    </row>
    <row r="28" spans="2:8" x14ac:dyDescent="0.3">
      <c r="D28" s="17" t="s">
        <v>1</v>
      </c>
      <c r="E28">
        <v>4018</v>
      </c>
      <c r="F28" s="14">
        <v>1597</v>
      </c>
      <c r="G28" s="24">
        <f t="shared" si="0"/>
        <v>-2421</v>
      </c>
      <c r="H28" s="26">
        <f t="shared" si="1"/>
        <v>-0.60253857640617225</v>
      </c>
    </row>
    <row r="29" spans="2:8" x14ac:dyDescent="0.3">
      <c r="D29" s="17" t="s">
        <v>2</v>
      </c>
      <c r="E29">
        <v>19</v>
      </c>
      <c r="F29" s="14">
        <v>21</v>
      </c>
      <c r="G29" s="24">
        <f t="shared" si="0"/>
        <v>2</v>
      </c>
      <c r="H29" s="26">
        <f t="shared" si="1"/>
        <v>0.10526315789473684</v>
      </c>
    </row>
    <row r="30" spans="2:8" x14ac:dyDescent="0.3">
      <c r="D30" s="17" t="s">
        <v>17</v>
      </c>
      <c r="E30">
        <v>0</v>
      </c>
      <c r="F30" s="14">
        <v>0</v>
      </c>
      <c r="G30" s="24">
        <f t="shared" si="0"/>
        <v>0</v>
      </c>
      <c r="H30" s="26" t="e">
        <f t="shared" si="1"/>
        <v>#DIV/0!</v>
      </c>
    </row>
    <row r="31" spans="2:8" x14ac:dyDescent="0.3">
      <c r="D31" s="17" t="s">
        <v>18</v>
      </c>
      <c r="E31">
        <v>0</v>
      </c>
      <c r="F31" s="14">
        <v>0</v>
      </c>
      <c r="G31" s="24">
        <f t="shared" si="0"/>
        <v>0</v>
      </c>
      <c r="H31" s="26" t="e">
        <f t="shared" si="1"/>
        <v>#DIV/0!</v>
      </c>
    </row>
    <row r="32" spans="2:8" x14ac:dyDescent="0.3">
      <c r="D32" s="17" t="s">
        <v>19</v>
      </c>
      <c r="E32">
        <v>0</v>
      </c>
      <c r="F32" s="14">
        <v>0</v>
      </c>
      <c r="G32" s="24">
        <f t="shared" si="0"/>
        <v>0</v>
      </c>
      <c r="H32" s="26" t="e">
        <f t="shared" si="1"/>
        <v>#DIV/0!</v>
      </c>
    </row>
    <row r="33" spans="2:8" x14ac:dyDescent="0.3">
      <c r="D33" s="17"/>
      <c r="F33" s="14"/>
      <c r="G33" s="24"/>
      <c r="H33" s="26"/>
    </row>
    <row r="34" spans="2:8" x14ac:dyDescent="0.3">
      <c r="D34" s="17"/>
      <c r="F34" s="14"/>
      <c r="G34" s="24"/>
      <c r="H34" s="26"/>
    </row>
    <row r="35" spans="2:8" x14ac:dyDescent="0.3">
      <c r="B35" t="s">
        <v>21</v>
      </c>
      <c r="D35" s="17" t="s">
        <v>10</v>
      </c>
      <c r="E35">
        <v>11558</v>
      </c>
      <c r="F35" s="14">
        <v>914</v>
      </c>
      <c r="G35" s="24">
        <f t="shared" si="0"/>
        <v>-10644</v>
      </c>
      <c r="H35" s="26">
        <f t="shared" si="1"/>
        <v>-0.92092057449385711</v>
      </c>
    </row>
    <row r="36" spans="2:8" x14ac:dyDescent="0.3">
      <c r="D36" s="17" t="s">
        <v>1</v>
      </c>
      <c r="E36">
        <v>4018</v>
      </c>
      <c r="F36" s="14">
        <v>1597</v>
      </c>
      <c r="G36" s="24">
        <f t="shared" si="0"/>
        <v>-2421</v>
      </c>
      <c r="H36" s="26">
        <f t="shared" si="1"/>
        <v>-0.60253857640617225</v>
      </c>
    </row>
    <row r="37" spans="2:8" x14ac:dyDescent="0.3">
      <c r="D37" s="17" t="s">
        <v>2</v>
      </c>
      <c r="E37">
        <v>19</v>
      </c>
      <c r="F37" s="14">
        <v>21</v>
      </c>
      <c r="G37" s="24">
        <f t="shared" si="0"/>
        <v>2</v>
      </c>
      <c r="H37" s="26">
        <f t="shared" si="1"/>
        <v>0.10526315789473684</v>
      </c>
    </row>
    <row r="38" spans="2:8" x14ac:dyDescent="0.3">
      <c r="D38" s="17" t="s">
        <v>17</v>
      </c>
      <c r="E38">
        <v>0</v>
      </c>
      <c r="F38" s="14">
        <v>0</v>
      </c>
      <c r="G38" s="24">
        <f t="shared" si="0"/>
        <v>0</v>
      </c>
      <c r="H38" s="26" t="e">
        <f t="shared" si="1"/>
        <v>#DIV/0!</v>
      </c>
    </row>
    <row r="39" spans="2:8" x14ac:dyDescent="0.3">
      <c r="D39" s="17" t="s">
        <v>18</v>
      </c>
      <c r="E39">
        <v>0</v>
      </c>
      <c r="F39" s="14">
        <v>0</v>
      </c>
      <c r="G39" s="24">
        <f t="shared" si="0"/>
        <v>0</v>
      </c>
      <c r="H39" s="26" t="e">
        <f t="shared" si="1"/>
        <v>#DIV/0!</v>
      </c>
    </row>
    <row r="40" spans="2:8" x14ac:dyDescent="0.3">
      <c r="D40" s="17" t="s">
        <v>19</v>
      </c>
      <c r="E40">
        <v>0</v>
      </c>
      <c r="F40" s="14">
        <v>0</v>
      </c>
      <c r="G40" s="24">
        <f t="shared" si="0"/>
        <v>0</v>
      </c>
      <c r="H40" s="26" t="e">
        <f t="shared" si="1"/>
        <v>#DIV/0!</v>
      </c>
    </row>
    <row r="41" spans="2:8" x14ac:dyDescent="0.3">
      <c r="H41" s="13"/>
    </row>
    <row r="46" spans="2:8" x14ac:dyDescent="0.3">
      <c r="E46" s="12"/>
      <c r="F46" s="12"/>
      <c r="G46" s="12"/>
    </row>
    <row r="47" spans="2:8" ht="15" thickBot="1" x14ac:dyDescent="0.35">
      <c r="E47" s="18" t="s">
        <v>26</v>
      </c>
      <c r="F47" s="18" t="s">
        <v>27</v>
      </c>
      <c r="G47" s="18" t="s">
        <v>23</v>
      </c>
    </row>
    <row r="48" spans="2:8" x14ac:dyDescent="0.3">
      <c r="D48" s="17" t="s">
        <v>10</v>
      </c>
      <c r="E48">
        <f>G11</f>
        <v>-26905</v>
      </c>
      <c r="F48">
        <f>G19+G27+G35</f>
        <v>-27187</v>
      </c>
      <c r="G48">
        <f>E48-F48</f>
        <v>282</v>
      </c>
    </row>
    <row r="49" spans="4:7" x14ac:dyDescent="0.3">
      <c r="D49" s="17" t="s">
        <v>1</v>
      </c>
      <c r="E49">
        <f t="shared" ref="E49:E53" si="2">G12</f>
        <v>-12775</v>
      </c>
      <c r="F49">
        <f t="shared" ref="F49:F53" si="3">G20+G28+G36</f>
        <v>-13093</v>
      </c>
      <c r="G49">
        <f t="shared" ref="G49:G53" si="4">E49-F49</f>
        <v>318</v>
      </c>
    </row>
    <row r="50" spans="4:7" x14ac:dyDescent="0.3">
      <c r="D50" s="17" t="s">
        <v>2</v>
      </c>
      <c r="E50">
        <f t="shared" si="2"/>
        <v>12</v>
      </c>
      <c r="F50">
        <f t="shared" si="3"/>
        <v>12</v>
      </c>
      <c r="G50">
        <f t="shared" si="4"/>
        <v>0</v>
      </c>
    </row>
    <row r="51" spans="4:7" x14ac:dyDescent="0.3">
      <c r="D51" s="17" t="s">
        <v>17</v>
      </c>
      <c r="E51">
        <f t="shared" si="2"/>
        <v>0</v>
      </c>
      <c r="F51">
        <f t="shared" si="3"/>
        <v>0</v>
      </c>
      <c r="G51">
        <f t="shared" si="4"/>
        <v>0</v>
      </c>
    </row>
    <row r="52" spans="4:7" x14ac:dyDescent="0.3">
      <c r="D52" s="17" t="s">
        <v>18</v>
      </c>
      <c r="E52">
        <f t="shared" si="2"/>
        <v>0</v>
      </c>
      <c r="F52">
        <f t="shared" si="3"/>
        <v>0</v>
      </c>
      <c r="G52">
        <f t="shared" si="4"/>
        <v>0</v>
      </c>
    </row>
    <row r="53" spans="4:7" x14ac:dyDescent="0.3">
      <c r="D53" s="17" t="s">
        <v>19</v>
      </c>
      <c r="E53">
        <f t="shared" si="2"/>
        <v>0</v>
      </c>
      <c r="F53">
        <f t="shared" si="3"/>
        <v>0</v>
      </c>
      <c r="G53">
        <f t="shared" si="4"/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single</vt:lpstr>
      <vt:lpstr>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Bornträger, Titus</dc:creator>
  <cp:lastModifiedBy>Bornträger, Titus</cp:lastModifiedBy>
  <dcterms:created xsi:type="dcterms:W3CDTF">2026-09-06T20:23:44Z</dcterms:created>
  <dcterms:modified xsi:type="dcterms:W3CDTF">2026-09-07T13:56:33Z</dcterms:modified>
</cp:coreProperties>
</file>